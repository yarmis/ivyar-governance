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P&amp;L Statement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ata Room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%"/>
    <numFmt numFmtId="166" formatCode="$#,##0"/>
    <numFmt numFmtId="167" formatCode="0.0"/>
    <numFmt numFmtId="168" formatCode="$#,##0&quot;K&quot;"/>
  </numFmts>
  <fonts count="12">
    <font>
      <name val="Calibri"/>
      <family val="2"/>
      <color theme="1"/>
      <sz val="11"/>
      <scheme val="minor"/>
    </font>
    <font>
      <b val="1"/>
      <color rgb="001B365D"/>
      <sz val="14"/>
    </font>
    <font>
      <b val="1"/>
      <color rgb="00FFFFFF"/>
      <sz val="11"/>
    </font>
    <font>
      <sz val="10"/>
    </font>
    <font>
      <color rgb="000000FF"/>
      <sz val="10"/>
    </font>
    <font>
      <i val="1"/>
      <color rgb="00666666"/>
      <sz val="9"/>
    </font>
    <font>
      <color rgb="00000000"/>
      <sz val="10"/>
    </font>
    <font>
      <b val="1"/>
      <sz val="10"/>
    </font>
    <font>
      <i val="1"/>
      <sz val="9"/>
    </font>
    <font>
      <b val="1"/>
      <color rgb="00CC0000"/>
    </font>
    <font>
      <color rgb="00CC6600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FC0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1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7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7" fontId="6" fillId="0" borderId="1" pivotButton="0" quotePrefix="0" xfId="0"/>
    <xf numFmtId="168" fontId="4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IVYAR Financial Model - Key Assumptions</t>
        </is>
      </c>
    </row>
    <row r="3">
      <c r="A3" s="2" t="inlineStr">
        <is>
          <t>Category</t>
        </is>
      </c>
      <c r="B3" s="2" t="inlineStr">
        <is>
          <t>Assumption</t>
        </is>
      </c>
      <c r="C3" s="2" t="inlineStr">
        <is>
          <t>Year 1</t>
        </is>
      </c>
      <c r="D3" s="2" t="inlineStr">
        <is>
          <t>Year 2</t>
        </is>
      </c>
      <c r="E3" s="2" t="inlineStr">
        <is>
          <t>Year 3</t>
        </is>
      </c>
      <c r="F3" s="2" t="inlineStr">
        <is>
          <t>Notes</t>
        </is>
      </c>
    </row>
    <row r="4">
      <c r="A4" s="3" t="inlineStr">
        <is>
          <t>Revenue</t>
        </is>
      </c>
      <c r="B4" s="3" t="inlineStr">
        <is>
          <t>New Enterprise Clients</t>
        </is>
      </c>
      <c r="C4" s="4" t="n">
        <v>3</v>
      </c>
      <c r="D4" s="4" t="n">
        <v>5</v>
      </c>
      <c r="E4" s="4" t="n">
        <v>8</v>
      </c>
      <c r="F4" s="5" t="inlineStr">
        <is>
          <t>Number of new clients per year</t>
        </is>
      </c>
    </row>
    <row r="5">
      <c r="A5" s="3" t="inlineStr">
        <is>
          <t>Revenue</t>
        </is>
      </c>
      <c r="B5" s="3" t="inlineStr">
        <is>
          <t>Avg Contract Value ($K)</t>
        </is>
      </c>
      <c r="C5" s="4" t="n">
        <v>200</v>
      </c>
      <c r="D5" s="4" t="n">
        <v>250</v>
      </c>
      <c r="E5" s="4" t="n">
        <v>300</v>
      </c>
      <c r="F5" s="5" t="inlineStr">
        <is>
          <t>Growing with upsells</t>
        </is>
      </c>
    </row>
    <row r="6">
      <c r="A6" s="3" t="inlineStr">
        <is>
          <t>Revenue</t>
        </is>
      </c>
      <c r="B6" s="3" t="inlineStr">
        <is>
          <t>Annual Retention Rate</t>
        </is>
      </c>
      <c r="C6" s="4" t="n">
        <v>0.95</v>
      </c>
      <c r="D6" s="4" t="n">
        <v>0.96</v>
      </c>
      <c r="E6" s="4" t="n">
        <v>0.97</v>
      </c>
      <c r="F6" s="5" t="inlineStr">
        <is>
          <t>Government contracts sticky</t>
        </is>
      </c>
    </row>
    <row r="7">
      <c r="A7" s="3" t="inlineStr">
        <is>
          <t>Revenue</t>
        </is>
      </c>
      <c r="B7" s="3" t="inlineStr">
        <is>
          <t>Expansion Revenue (%)</t>
        </is>
      </c>
      <c r="C7" s="4" t="n">
        <v>0.1</v>
      </c>
      <c r="D7" s="4" t="n">
        <v>0.15</v>
      </c>
      <c r="E7" s="4" t="n">
        <v>0.2</v>
      </c>
      <c r="F7" s="5" t="inlineStr">
        <is>
          <t>Add-on modules</t>
        </is>
      </c>
    </row>
    <row r="8">
      <c r="A8" s="3" t="inlineStr">
        <is>
          <t>Revenue</t>
        </is>
      </c>
      <c r="B8" s="3" t="inlineStr">
        <is>
          <t>Transaction Fee Rate</t>
        </is>
      </c>
      <c r="C8" s="4" t="n">
        <v>0.02</v>
      </c>
      <c r="D8" s="4" t="n">
        <v>0.02</v>
      </c>
      <c r="E8" s="4" t="n">
        <v>0.02</v>
      </c>
      <c r="F8" s="5" t="inlineStr">
        <is>
          <t>2% on procurement volume</t>
        </is>
      </c>
    </row>
    <row r="9">
      <c r="A9" s="3" t="inlineStr">
        <is>
          <t>Revenue</t>
        </is>
      </c>
      <c r="B9" s="3" t="inlineStr">
        <is>
          <t>Services Revenue ($K/client)</t>
        </is>
      </c>
      <c r="C9" s="4" t="n">
        <v>30</v>
      </c>
      <c r="D9" s="4" t="n">
        <v>25</v>
      </c>
      <c r="E9" s="4" t="n">
        <v>20</v>
      </c>
      <c r="F9" s="5" t="inlineStr">
        <is>
          <t>Decreasing with maturity</t>
        </is>
      </c>
    </row>
    <row r="10">
      <c r="A10" s="3" t="inlineStr">
        <is>
          <t>Costs</t>
        </is>
      </c>
      <c r="B10" s="3" t="inlineStr">
        <is>
          <t>COGS (% of Revenue)</t>
        </is>
      </c>
      <c r="C10" s="4" t="n">
        <v>0.25</v>
      </c>
      <c r="D10" s="4" t="n">
        <v>0.22</v>
      </c>
      <c r="E10" s="4" t="n">
        <v>0.2</v>
      </c>
      <c r="F10" s="5" t="inlineStr">
        <is>
          <t>Improving with scale</t>
        </is>
      </c>
    </row>
    <row r="11">
      <c r="A11" s="3" t="inlineStr">
        <is>
          <t>Costs</t>
        </is>
      </c>
      <c r="B11" s="3" t="inlineStr">
        <is>
          <t>Engineering Headcount</t>
        </is>
      </c>
      <c r="C11" s="4" t="n">
        <v>5</v>
      </c>
      <c r="D11" s="4" t="n">
        <v>8</v>
      </c>
      <c r="E11" s="4" t="n">
        <v>12</v>
      </c>
      <c r="F11" s="5" t="inlineStr">
        <is>
          <t>Product development team</t>
        </is>
      </c>
    </row>
    <row r="12">
      <c r="A12" s="3" t="inlineStr">
        <is>
          <t>Costs</t>
        </is>
      </c>
      <c r="B12" s="3" t="inlineStr">
        <is>
          <t>Avg Engineering Salary ($K)</t>
        </is>
      </c>
      <c r="C12" s="4" t="n">
        <v>120</v>
      </c>
      <c r="D12" s="4" t="n">
        <v>130</v>
      </c>
      <c r="E12" s="4" t="n">
        <v>140</v>
      </c>
      <c r="F12" s="5" t="inlineStr">
        <is>
          <t>Competitive compensation</t>
        </is>
      </c>
    </row>
    <row r="13">
      <c r="A13" s="3" t="inlineStr">
        <is>
          <t>Costs</t>
        </is>
      </c>
      <c r="B13" s="3" t="inlineStr">
        <is>
          <t>Sales &amp; Marketing (% Rev)</t>
        </is>
      </c>
      <c r="C13" s="4" t="n">
        <v>0.25</v>
      </c>
      <c r="D13" s="4" t="n">
        <v>0.2</v>
      </c>
      <c r="E13" s="4" t="n">
        <v>0.18</v>
      </c>
      <c r="F13" s="5" t="inlineStr">
        <is>
          <t>Efficiency improvements</t>
        </is>
      </c>
    </row>
    <row r="14">
      <c r="A14" s="3" t="inlineStr">
        <is>
          <t>Costs</t>
        </is>
      </c>
      <c r="B14" s="3" t="inlineStr">
        <is>
          <t>G&amp;A (% of Revenue)</t>
        </is>
      </c>
      <c r="C14" s="4" t="n">
        <v>0.15</v>
      </c>
      <c r="D14" s="4" t="n">
        <v>0.12</v>
      </c>
      <c r="E14" s="4" t="n">
        <v>0.1</v>
      </c>
      <c r="F14" s="5" t="inlineStr">
        <is>
          <t>Leverage from scale</t>
        </is>
      </c>
    </row>
    <row r="15">
      <c r="A15" s="3" t="inlineStr">
        <is>
          <t>Costs</t>
        </is>
      </c>
      <c r="B15" s="3" t="inlineStr">
        <is>
          <t>Infrastructure ($K/month)</t>
        </is>
      </c>
      <c r="C15" s="4" t="n">
        <v>15</v>
      </c>
      <c r="D15" s="4" t="n">
        <v>25</v>
      </c>
      <c r="E15" s="4" t="n">
        <v>40</v>
      </c>
      <c r="F15" s="5" t="inlineStr">
        <is>
          <t>Cloud hosting, security</t>
        </is>
      </c>
    </row>
    <row r="16">
      <c r="A16" s="3" t="inlineStr">
        <is>
          <t>Growth</t>
        </is>
      </c>
      <c r="B16" s="3" t="inlineStr">
        <is>
          <t>Market Growth Rate</t>
        </is>
      </c>
      <c r="C16" s="4" t="n">
        <v>0.15</v>
      </c>
      <c r="D16" s="4" t="n">
        <v>0.15</v>
      </c>
      <c r="E16" s="4" t="n">
        <v>0.15</v>
      </c>
      <c r="F16" s="5" t="inlineStr">
        <is>
          <t>GovTech CAGR</t>
        </is>
      </c>
    </row>
    <row r="17">
      <c r="A17" s="3" t="inlineStr">
        <is>
          <t>Growth</t>
        </is>
      </c>
      <c r="B17" s="3" t="inlineStr">
        <is>
          <t>Price Increase (%)</t>
        </is>
      </c>
      <c r="C17" s="4" t="n">
        <v>0</v>
      </c>
      <c r="D17" s="4" t="n">
        <v>0.05</v>
      </c>
      <c r="E17" s="4" t="n">
        <v>0.05</v>
      </c>
      <c r="F17" s="5" t="inlineStr">
        <is>
          <t>Annual price adjustment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4" customWidth="1" min="5" max="5"/>
    <col width="25" customWidth="1" min="6" max="6"/>
  </cols>
  <sheetData>
    <row r="1">
      <c r="A1" s="6" t="inlineStr">
        <is>
          <t>IVYAR Revenue Model ($000s)</t>
        </is>
      </c>
    </row>
    <row r="3">
      <c r="A3" s="2" t="inlineStr">
        <is>
          <t>Line 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3-Year Total</t>
        </is>
      </c>
      <c r="F3" s="2" t="inlineStr">
        <is>
          <t>Notes</t>
        </is>
      </c>
    </row>
    <row r="4">
      <c r="A4" s="3" t="inlineStr">
        <is>
          <t>New Clients</t>
        </is>
      </c>
      <c r="B4" s="7">
        <f>Assumptions!C4</f>
        <v/>
      </c>
      <c r="C4" s="7">
        <f>Assumptions!D4</f>
        <v/>
      </c>
      <c r="D4" s="7">
        <f>Assumptions!E4</f>
        <v/>
      </c>
      <c r="E4" s="7">
        <f>SUM(B4:D4)</f>
        <v/>
      </c>
      <c r="F4" s="5" t="inlineStr">
        <is>
          <t>From assumptions</t>
        </is>
      </c>
    </row>
    <row r="5">
      <c r="A5" s="3" t="inlineStr">
        <is>
          <t>Retained Clients</t>
        </is>
      </c>
      <c r="B5" s="7">
        <f>0</f>
        <v/>
      </c>
      <c r="C5" s="7">
        <f>B4*Assumptions!C6</f>
        <v/>
      </c>
      <c r="D5" s="7">
        <f>(B4+C4)*Assumptions!D6</f>
        <v/>
      </c>
      <c r="E5" s="7">
        <f>SUM(B5:D5)</f>
        <v/>
      </c>
      <c r="F5" s="5" t="inlineStr">
        <is>
          <t>Prior year * retention</t>
        </is>
      </c>
    </row>
    <row r="6">
      <c r="A6" s="8" t="inlineStr">
        <is>
          <t>Total Clients</t>
        </is>
      </c>
      <c r="B6" s="7">
        <f>B4+B5</f>
        <v/>
      </c>
      <c r="C6" s="7">
        <f>C4+C5</f>
        <v/>
      </c>
      <c r="D6" s="7">
        <f>D4+D5</f>
        <v/>
      </c>
      <c r="E6" s="7">
        <f>D6</f>
        <v/>
      </c>
      <c r="F6" s="5" t="inlineStr">
        <is>
          <t>Cumulative active</t>
        </is>
      </c>
    </row>
    <row r="7">
      <c r="A7" s="3" t="inlineStr"/>
      <c r="F7" s="5" t="inlineStr"/>
    </row>
    <row r="8">
      <c r="A8" s="3" t="inlineStr">
        <is>
          <t>Base Subscription Revenue</t>
        </is>
      </c>
      <c r="B8" s="7">
        <f>B6*Assumptions!C5</f>
        <v/>
      </c>
      <c r="C8" s="7">
        <f>C6*Assumptions!D5</f>
        <v/>
      </c>
      <c r="D8" s="7">
        <f>D6*Assumptions!E5</f>
        <v/>
      </c>
      <c r="E8" s="7">
        <f>SUM(B8:D8)</f>
        <v/>
      </c>
      <c r="F8" s="5" t="inlineStr">
        <is>
          <t>Clients * ACV</t>
        </is>
      </c>
    </row>
    <row r="9">
      <c r="A9" s="3" t="inlineStr">
        <is>
          <t>Expansion Revenue</t>
        </is>
      </c>
      <c r="B9" s="7">
        <f>B8*Assumptions!C7</f>
        <v/>
      </c>
      <c r="C9" s="7">
        <f>C8*Assumptions!D7</f>
        <v/>
      </c>
      <c r="D9" s="7">
        <f>D8*Assumptions!E7</f>
        <v/>
      </c>
      <c r="E9" s="7">
        <f>SUM(B9:D9)</f>
        <v/>
      </c>
      <c r="F9" s="5" t="inlineStr">
        <is>
          <t>Upsells</t>
        </is>
      </c>
    </row>
    <row r="10">
      <c r="A10" s="3" t="inlineStr">
        <is>
          <t>Transaction Fees</t>
        </is>
      </c>
      <c r="B10" s="7">
        <f>B6*500*Assumptions!C8</f>
        <v/>
      </c>
      <c r="C10" s="7">
        <f>C6*750*Assumptions!D8</f>
        <v/>
      </c>
      <c r="D10" s="7">
        <f>D6*1000*Assumptions!E8</f>
        <v/>
      </c>
      <c r="E10" s="7">
        <f>SUM(B10:D10)</f>
        <v/>
      </c>
      <c r="F10" s="5" t="inlineStr">
        <is>
          <t>Est. procurement vol</t>
        </is>
      </c>
    </row>
    <row r="11">
      <c r="A11" s="3" t="inlineStr">
        <is>
          <t>Services Revenue</t>
        </is>
      </c>
      <c r="B11" s="7">
        <f>B4*Assumptions!C9</f>
        <v/>
      </c>
      <c r="C11" s="7">
        <f>C4*Assumptions!D9</f>
        <v/>
      </c>
      <c r="D11" s="7">
        <f>D4*Assumptions!E9</f>
        <v/>
      </c>
      <c r="E11" s="7">
        <f>SUM(B11:D11)</f>
        <v/>
      </c>
      <c r="F11" s="5" t="inlineStr">
        <is>
          <t>New client impl</t>
        </is>
      </c>
    </row>
    <row r="12">
      <c r="A12" s="3" t="inlineStr"/>
      <c r="F12" s="5" t="inlineStr"/>
    </row>
    <row r="13">
      <c r="A13" s="9" t="inlineStr">
        <is>
          <t>TOTAL REVENUE</t>
        </is>
      </c>
      <c r="B13" s="9">
        <f>SUM(B8:B11)</f>
        <v/>
      </c>
      <c r="C13" s="9">
        <f>SUM(C8:C11)</f>
        <v/>
      </c>
      <c r="D13" s="9">
        <f>SUM(D8:D11)</f>
        <v/>
      </c>
      <c r="E13" s="9">
        <f>SUM(E8:E11)</f>
        <v/>
      </c>
      <c r="F13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6" t="inlineStr">
        <is>
          <t>IVYAR Profit &amp; Loss Statement ($000s)</t>
        </is>
      </c>
    </row>
    <row r="3">
      <c r="A3" s="2" t="inlineStr">
        <is>
          <t>Line 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3-Year Total</t>
        </is>
      </c>
      <c r="F3" s="2" t="inlineStr">
        <is>
          <t>% of Rev (Y3)</t>
        </is>
      </c>
    </row>
    <row r="4">
      <c r="A4" s="9" t="inlineStr">
        <is>
          <t>Revenue</t>
        </is>
      </c>
      <c r="B4" s="10">
        <f>'Revenue Model'!B13</f>
        <v/>
      </c>
      <c r="C4" s="10">
        <f>'Revenue Model'!C13</f>
        <v/>
      </c>
      <c r="D4" s="10">
        <f>'Revenue Model'!D13</f>
        <v/>
      </c>
      <c r="E4" s="10">
        <f>SUM(B4:D4)</f>
        <v/>
      </c>
      <c r="F4" s="11">
        <f>D4/D4</f>
        <v/>
      </c>
    </row>
    <row r="5">
      <c r="A5" s="3" t="inlineStr"/>
      <c r="B5" s="12" t="n"/>
      <c r="C5" s="12" t="n"/>
      <c r="D5" s="12" t="n"/>
      <c r="E5" s="12" t="n"/>
      <c r="F5" s="13" t="n"/>
    </row>
    <row r="6">
      <c r="A6" s="3" t="inlineStr">
        <is>
          <t>Cost of Goods Sold</t>
        </is>
      </c>
      <c r="B6" s="14">
        <f>-B4*Assumptions!C10</f>
        <v/>
      </c>
      <c r="C6" s="14">
        <f>-C4*Assumptions!D10</f>
        <v/>
      </c>
      <c r="D6" s="14">
        <f>-D4*Assumptions!E10</f>
        <v/>
      </c>
      <c r="E6" s="14">
        <f>SUM(B6:D6)</f>
        <v/>
      </c>
      <c r="F6" s="15">
        <f>D6/D4</f>
        <v/>
      </c>
    </row>
    <row r="7">
      <c r="A7" s="9" t="inlineStr">
        <is>
          <t>GROSS PROFIT</t>
        </is>
      </c>
      <c r="B7" s="10">
        <f>B4+B6</f>
        <v/>
      </c>
      <c r="C7" s="10">
        <f>C4+C6</f>
        <v/>
      </c>
      <c r="D7" s="10">
        <f>D4+D6</f>
        <v/>
      </c>
      <c r="E7" s="10">
        <f>SUM(B7:D7)</f>
        <v/>
      </c>
      <c r="F7" s="11">
        <f>D7/D4</f>
        <v/>
      </c>
    </row>
    <row r="8">
      <c r="A8" s="3" t="inlineStr">
        <is>
          <t>Gross Margin %</t>
        </is>
      </c>
      <c r="B8" s="15">
        <f>B7/B4</f>
        <v/>
      </c>
      <c r="C8" s="15">
        <f>C7/C4</f>
        <v/>
      </c>
      <c r="D8" s="15">
        <f>D7/D4</f>
        <v/>
      </c>
      <c r="E8" s="12" t="n"/>
      <c r="F8" s="13" t="n"/>
    </row>
    <row r="9">
      <c r="A9" s="3" t="inlineStr"/>
      <c r="B9" s="12" t="n"/>
      <c r="C9" s="12" t="n"/>
      <c r="D9" s="12" t="n"/>
      <c r="E9" s="12" t="n"/>
      <c r="F9" s="13" t="n"/>
    </row>
    <row r="10">
      <c r="A10" s="3" t="inlineStr">
        <is>
          <t>Engineering</t>
        </is>
      </c>
      <c r="B10" s="14">
        <f>-Assumptions!C11*Assumptions!C12</f>
        <v/>
      </c>
      <c r="C10" s="14">
        <f>-Assumptions!D11*Assumptions!D12</f>
        <v/>
      </c>
      <c r="D10" s="14">
        <f>-Assumptions!E11*Assumptions!E12</f>
        <v/>
      </c>
      <c r="E10" s="14">
        <f>SUM(B10:D10)</f>
        <v/>
      </c>
      <c r="F10" s="15">
        <f>D10/D4</f>
        <v/>
      </c>
    </row>
    <row r="11">
      <c r="A11" s="3" t="inlineStr">
        <is>
          <t>Sales &amp; Marketing</t>
        </is>
      </c>
      <c r="B11" s="14">
        <f>-B4*Assumptions!C13</f>
        <v/>
      </c>
      <c r="C11" s="14">
        <f>-C4*Assumptions!D13</f>
        <v/>
      </c>
      <c r="D11" s="14">
        <f>-D4*Assumptions!E13</f>
        <v/>
      </c>
      <c r="E11" s="14">
        <f>SUM(B11:D11)</f>
        <v/>
      </c>
      <c r="F11" s="15">
        <f>D11/D4</f>
        <v/>
      </c>
    </row>
    <row r="12">
      <c r="A12" s="3" t="inlineStr">
        <is>
          <t>G&amp;A</t>
        </is>
      </c>
      <c r="B12" s="14">
        <f>-B4*Assumptions!C14</f>
        <v/>
      </c>
      <c r="C12" s="14">
        <f>-C4*Assumptions!D14</f>
        <v/>
      </c>
      <c r="D12" s="14">
        <f>-D4*Assumptions!E14</f>
        <v/>
      </c>
      <c r="E12" s="14">
        <f>SUM(B12:D12)</f>
        <v/>
      </c>
      <c r="F12" s="15">
        <f>D12/D4</f>
        <v/>
      </c>
    </row>
    <row r="13">
      <c r="A13" s="3" t="inlineStr">
        <is>
          <t>Infrastructure</t>
        </is>
      </c>
      <c r="B13" s="14">
        <f>-Assumptions!C15*12</f>
        <v/>
      </c>
      <c r="C13" s="14">
        <f>-Assumptions!D15*12</f>
        <v/>
      </c>
      <c r="D13" s="14">
        <f>-Assumptions!E15*12</f>
        <v/>
      </c>
      <c r="E13" s="14">
        <f>SUM(B13:D13)</f>
        <v/>
      </c>
      <c r="F13" s="15">
        <f>D13/D4</f>
        <v/>
      </c>
    </row>
    <row r="14">
      <c r="A14" s="9" t="inlineStr">
        <is>
          <t>TOTAL OPEX</t>
        </is>
      </c>
      <c r="B14" s="10">
        <f>SUM(B10:B13)</f>
        <v/>
      </c>
      <c r="C14" s="10">
        <f>SUM(C10:C13)</f>
        <v/>
      </c>
      <c r="D14" s="10">
        <f>SUM(D10:D13)</f>
        <v/>
      </c>
      <c r="E14" s="10">
        <f>SUM(E10:E13)</f>
        <v/>
      </c>
      <c r="F14" s="11">
        <f>D14/D4</f>
        <v/>
      </c>
    </row>
    <row r="15">
      <c r="A15" s="3" t="inlineStr"/>
      <c r="B15" s="12" t="n"/>
      <c r="C15" s="12" t="n"/>
      <c r="D15" s="12" t="n"/>
      <c r="E15" s="12" t="n"/>
      <c r="F15" s="13" t="n"/>
    </row>
    <row r="16">
      <c r="A16" s="9" t="inlineStr">
        <is>
          <t>EBITDA</t>
        </is>
      </c>
      <c r="B16" s="10">
        <f>B7+B14</f>
        <v/>
      </c>
      <c r="C16" s="10">
        <f>C7+C14</f>
        <v/>
      </c>
      <c r="D16" s="10">
        <f>D7+D14</f>
        <v/>
      </c>
      <c r="E16" s="10">
        <f>SUM(B16:D16)</f>
        <v/>
      </c>
      <c r="F16" s="11">
        <f>D16/D4</f>
        <v/>
      </c>
    </row>
    <row r="17">
      <c r="A17" s="3" t="inlineStr">
        <is>
          <t>EBITDA Margin %</t>
        </is>
      </c>
      <c r="B17" s="15">
        <f>B16/B4</f>
        <v/>
      </c>
      <c r="C17" s="15">
        <f>C16/C4</f>
        <v/>
      </c>
      <c r="D17" s="15">
        <f>D16/D4</f>
        <v/>
      </c>
      <c r="E17" s="12" t="n"/>
      <c r="F17" s="13" t="n"/>
    </row>
    <row r="18">
      <c r="B18" s="12" t="n"/>
      <c r="C18" s="12" t="n"/>
      <c r="D18" s="12" t="n"/>
      <c r="E18" s="12" t="n"/>
      <c r="F18" s="13" t="n"/>
    </row>
    <row r="19">
      <c r="B19" s="12" t="n"/>
      <c r="C19" s="12" t="n"/>
      <c r="D19" s="12" t="n"/>
      <c r="E19" s="12" t="n"/>
      <c r="F19" s="13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IVYAR Unit Economics Analysis</t>
        </is>
      </c>
    </row>
    <row r="3">
      <c r="A3" s="2" t="inlineStr">
        <is>
          <t>Metric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</row>
    <row r="4">
      <c r="A4" s="3" t="inlineStr">
        <is>
          <t>Average Contract Value ($K)</t>
        </is>
      </c>
      <c r="B4" s="16">
        <f>Assumptions!C5</f>
        <v/>
      </c>
      <c r="C4" s="16">
        <f>Assumptions!D5</f>
        <v/>
      </c>
      <c r="D4" s="16">
        <f>Assumptions!E5</f>
        <v/>
      </c>
    </row>
    <row r="5">
      <c r="A5" s="3" t="inlineStr">
        <is>
          <t>Customer Acquisition Cost ($K)</t>
        </is>
      </c>
      <c r="B5" s="16">
        <f>-'P&amp;L Statement'!B11/'Revenue Model'!B4</f>
        <v/>
      </c>
      <c r="C5" s="16">
        <f>-'P&amp;L Statement'!C11/'Revenue Model'!C4</f>
        <v/>
      </c>
      <c r="D5" s="16">
        <f>-'P&amp;L Statement'!D11/'Revenue Model'!D4</f>
        <v/>
      </c>
    </row>
    <row r="6">
      <c r="A6" s="3" t="inlineStr">
        <is>
          <t>Gross Margin %</t>
        </is>
      </c>
      <c r="B6" s="15">
        <f>'P&amp;L Statement'!B8</f>
        <v/>
      </c>
      <c r="C6" s="15">
        <f>'P&amp;L Statement'!C8</f>
        <v/>
      </c>
      <c r="D6" s="15">
        <f>'P&amp;L Statement'!D8</f>
        <v/>
      </c>
    </row>
    <row r="7">
      <c r="A7" s="3" t="inlineStr">
        <is>
          <t>Customer Lifetime (Years)</t>
        </is>
      </c>
      <c r="B7" s="17">
        <f>1/(1-Assumptions!C6)</f>
        <v/>
      </c>
      <c r="C7" s="17">
        <f>1/(1-Assumptions!D6)</f>
        <v/>
      </c>
      <c r="D7" s="17">
        <f>1/(1-Assumptions!E6)</f>
        <v/>
      </c>
    </row>
    <row r="8">
      <c r="A8" s="3" t="inlineStr">
        <is>
          <t>Customer Lifetime Value ($K)</t>
        </is>
      </c>
      <c r="B8" s="16">
        <f>B4*B6*B7</f>
        <v/>
      </c>
      <c r="C8" s="16">
        <f>C4*C6*C7</f>
        <v/>
      </c>
      <c r="D8" s="16">
        <f>D4*D6*D7</f>
        <v/>
      </c>
    </row>
    <row r="9">
      <c r="A9" s="3" t="inlineStr">
        <is>
          <t>LTV:CAC Ratio</t>
        </is>
      </c>
      <c r="B9" s="17">
        <f>B8/B5</f>
        <v/>
      </c>
      <c r="C9" s="17">
        <f>C8/C5</f>
        <v/>
      </c>
      <c r="D9" s="17">
        <f>D8/D5</f>
        <v/>
      </c>
    </row>
    <row r="10">
      <c r="A10" s="3" t="inlineStr">
        <is>
          <t>CAC Payback (Months)</t>
        </is>
      </c>
      <c r="B10" s="17">
        <f>B5/(B4*B6/12)</f>
        <v/>
      </c>
      <c r="C10" s="17">
        <f>C5/(C4*C6/12)</f>
        <v/>
      </c>
      <c r="D10" s="17">
        <f>D5/(D4*D6/12)</f>
        <v/>
      </c>
    </row>
    <row r="11">
      <c r="A11" s="3" t="inlineStr"/>
    </row>
    <row r="12">
      <c r="A12" s="3" t="inlineStr">
        <is>
          <t>Revenue per Employee ($K)</t>
        </is>
      </c>
      <c r="B12" s="16">
        <f>'P&amp;L Statement'!B4/Assumptions!C11</f>
        <v/>
      </c>
      <c r="C12" s="16">
        <f>'P&amp;L Statement'!C4/Assumptions!D11</f>
        <v/>
      </c>
      <c r="D12" s="16">
        <f>'P&amp;L Statement'!D4/Assumptions!E11</f>
        <v/>
      </c>
    </row>
    <row r="13">
      <c r="A13" s="3" t="inlineStr">
        <is>
          <t>Clients per Sales Rep (est)</t>
        </is>
      </c>
      <c r="B13" s="17">
        <f>'Revenue Model'!B6/2</f>
        <v/>
      </c>
      <c r="C13" s="17">
        <f>'Revenue Model'!C6/3</f>
        <v/>
      </c>
      <c r="D13" s="17">
        <f>'Revenue Model'!D6/5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6" t="inlineStr">
        <is>
          <t>IVYAR Scenario Analysis</t>
        </is>
      </c>
    </row>
    <row r="3">
      <c r="A3" s="2" t="inlineStr">
        <is>
          <t>Scenario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Description</t>
        </is>
      </c>
    </row>
    <row r="4">
      <c r="A4" s="8" t="inlineStr">
        <is>
          <t>Conservative</t>
        </is>
      </c>
      <c r="B4" s="18" t="n">
        <v>500</v>
      </c>
      <c r="C4" s="18" t="n">
        <v>1000</v>
      </c>
      <c r="D4" s="18" t="n">
        <v>1500</v>
      </c>
      <c r="E4" s="19" t="inlineStr">
        <is>
          <t>2 clients Y1, slower growth, lower ACV</t>
        </is>
      </c>
    </row>
    <row r="5">
      <c r="A5" s="8" t="inlineStr">
        <is>
          <t>Base Case</t>
        </is>
      </c>
      <c r="B5" s="18" t="n">
        <v>750</v>
      </c>
      <c r="C5" s="18" t="n">
        <v>1800</v>
      </c>
      <c r="D5" s="18" t="n">
        <v>2800</v>
      </c>
      <c r="E5" s="19" t="inlineStr">
        <is>
          <t>3 clients Y1, steady growth per model</t>
        </is>
      </c>
    </row>
    <row r="6">
      <c r="A6" s="8" t="inlineStr">
        <is>
          <t>Optimistic</t>
        </is>
      </c>
      <c r="B6" s="18" t="n">
        <v>1200</v>
      </c>
      <c r="C6" s="18" t="n">
        <v>2500</v>
      </c>
      <c r="D6" s="18" t="n">
        <v>5000</v>
      </c>
      <c r="E6" s="19" t="inlineStr">
        <is>
          <t>5 clients Y1, faster upsells, higher ACV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2" customWidth="1" min="4" max="4"/>
  </cols>
  <sheetData>
    <row r="1">
      <c r="A1" s="6" t="inlineStr">
        <is>
          <t>Due Diligence Data Room Structure</t>
        </is>
      </c>
    </row>
    <row r="3">
      <c r="A3" s="2" t="inlineStr">
        <is>
          <t>Category</t>
        </is>
      </c>
      <c r="B3" s="2" t="inlineStr">
        <is>
          <t>Document</t>
        </is>
      </c>
      <c r="C3" s="2" t="inlineStr">
        <is>
          <t>Status</t>
        </is>
      </c>
      <c r="D3" s="2" t="inlineStr">
        <is>
          <t>Priority</t>
        </is>
      </c>
    </row>
    <row r="4">
      <c r="A4" s="3" t="inlineStr">
        <is>
          <t>Corporate</t>
        </is>
      </c>
      <c r="B4" s="3" t="inlineStr">
        <is>
          <t>Certificate of Incorporation</t>
        </is>
      </c>
      <c r="C4" t="inlineStr">
        <is>
          <t>Required</t>
        </is>
      </c>
      <c r="D4" s="20" t="inlineStr">
        <is>
          <t>High</t>
        </is>
      </c>
    </row>
    <row r="5">
      <c r="A5" s="3" t="inlineStr">
        <is>
          <t>Corporate</t>
        </is>
      </c>
      <c r="B5" s="3" t="inlineStr">
        <is>
          <t>Operating Agreement / Bylaws</t>
        </is>
      </c>
      <c r="C5" t="inlineStr">
        <is>
          <t>Required</t>
        </is>
      </c>
      <c r="D5" s="20" t="inlineStr">
        <is>
          <t>High</t>
        </is>
      </c>
    </row>
    <row r="6">
      <c r="A6" s="3" t="inlineStr">
        <is>
          <t>Corporate</t>
        </is>
      </c>
      <c r="B6" s="3" t="inlineStr">
        <is>
          <t>Cap Table (fully diluted)</t>
        </is>
      </c>
      <c r="C6" t="inlineStr">
        <is>
          <t>Required</t>
        </is>
      </c>
      <c r="D6" s="20" t="inlineStr">
        <is>
          <t>High</t>
        </is>
      </c>
    </row>
    <row r="7">
      <c r="A7" s="3" t="inlineStr">
        <is>
          <t>Corporate</t>
        </is>
      </c>
      <c r="B7" s="3" t="inlineStr">
        <is>
          <t>Board Meeting Minutes</t>
        </is>
      </c>
      <c r="C7" t="inlineStr">
        <is>
          <t>Required</t>
        </is>
      </c>
      <c r="D7" s="21" t="inlineStr">
        <is>
          <t>Medium</t>
        </is>
      </c>
    </row>
    <row r="8">
      <c r="A8" s="3" t="inlineStr">
        <is>
          <t>Corporate</t>
        </is>
      </c>
      <c r="B8" s="3" t="inlineStr">
        <is>
          <t>Shareholder Agreements</t>
        </is>
      </c>
      <c r="C8" t="inlineStr">
        <is>
          <t>Required</t>
        </is>
      </c>
      <c r="D8" s="20" t="inlineStr">
        <is>
          <t>High</t>
        </is>
      </c>
    </row>
    <row r="9">
      <c r="A9" s="3" t="inlineStr">
        <is>
          <t>Financial</t>
        </is>
      </c>
      <c r="B9" s="3" t="inlineStr">
        <is>
          <t>Historical Financial Statements</t>
        </is>
      </c>
      <c r="C9" t="inlineStr">
        <is>
          <t>Required</t>
        </is>
      </c>
      <c r="D9" s="20" t="inlineStr">
        <is>
          <t>High</t>
        </is>
      </c>
    </row>
    <row r="10">
      <c r="A10" s="3" t="inlineStr">
        <is>
          <t>Financial</t>
        </is>
      </c>
      <c r="B10" s="3" t="inlineStr">
        <is>
          <t>Financial Model / Projections</t>
        </is>
      </c>
      <c r="C10" t="inlineStr">
        <is>
          <t>Required</t>
        </is>
      </c>
      <c r="D10" s="20" t="inlineStr">
        <is>
          <t>High</t>
        </is>
      </c>
    </row>
    <row r="11">
      <c r="A11" s="3" t="inlineStr">
        <is>
          <t>Financial</t>
        </is>
      </c>
      <c r="B11" s="3" t="inlineStr">
        <is>
          <t>Bank Statements (12 months)</t>
        </is>
      </c>
      <c r="C11" t="inlineStr">
        <is>
          <t>Required</t>
        </is>
      </c>
      <c r="D11" s="21" t="inlineStr">
        <is>
          <t>Medium</t>
        </is>
      </c>
    </row>
    <row r="12">
      <c r="A12" s="3" t="inlineStr">
        <is>
          <t>Financial</t>
        </is>
      </c>
      <c r="B12" s="3" t="inlineStr">
        <is>
          <t>Accounts Receivable Aging</t>
        </is>
      </c>
      <c r="C12" t="inlineStr">
        <is>
          <t>If applicable</t>
        </is>
      </c>
      <c r="D12" s="21" t="inlineStr">
        <is>
          <t>Medium</t>
        </is>
      </c>
    </row>
    <row r="13">
      <c r="A13" s="3" t="inlineStr">
        <is>
          <t>Financial</t>
        </is>
      </c>
      <c r="B13" s="3" t="inlineStr">
        <is>
          <t>Tax Returns (3 years)</t>
        </is>
      </c>
      <c r="C13" t="inlineStr">
        <is>
          <t>Required</t>
        </is>
      </c>
      <c r="D13" s="20" t="inlineStr">
        <is>
          <t>High</t>
        </is>
      </c>
    </row>
    <row r="14">
      <c r="A14" s="3" t="inlineStr">
        <is>
          <t>Product</t>
        </is>
      </c>
      <c r="B14" s="3" t="inlineStr">
        <is>
          <t>Product Roadmap</t>
        </is>
      </c>
      <c r="C14" t="inlineStr">
        <is>
          <t>Required</t>
        </is>
      </c>
      <c r="D14" s="20" t="inlineStr">
        <is>
          <t>High</t>
        </is>
      </c>
    </row>
    <row r="15">
      <c r="A15" s="3" t="inlineStr">
        <is>
          <t>Product</t>
        </is>
      </c>
      <c r="B15" s="3" t="inlineStr">
        <is>
          <t>Technical Architecture</t>
        </is>
      </c>
      <c r="C15" t="inlineStr">
        <is>
          <t>Required</t>
        </is>
      </c>
      <c r="D15" s="20" t="inlineStr">
        <is>
          <t>High</t>
        </is>
      </c>
    </row>
    <row r="16">
      <c r="A16" s="3" t="inlineStr">
        <is>
          <t>Product</t>
        </is>
      </c>
      <c r="B16" s="3" t="inlineStr">
        <is>
          <t>Security Documentation</t>
        </is>
      </c>
      <c r="C16" t="inlineStr">
        <is>
          <t>Required</t>
        </is>
      </c>
      <c r="D16" s="20" t="inlineStr">
        <is>
          <t>High</t>
        </is>
      </c>
    </row>
    <row r="17">
      <c r="A17" s="3" t="inlineStr">
        <is>
          <t>Product</t>
        </is>
      </c>
      <c r="B17" s="3" t="inlineStr">
        <is>
          <t>IP Assignments</t>
        </is>
      </c>
      <c r="C17" t="inlineStr">
        <is>
          <t>Required</t>
        </is>
      </c>
      <c r="D17" s="20" t="inlineStr">
        <is>
          <t>High</t>
        </is>
      </c>
    </row>
    <row r="18">
      <c r="A18" s="3" t="inlineStr">
        <is>
          <t>Commercial</t>
        </is>
      </c>
      <c r="B18" s="3" t="inlineStr">
        <is>
          <t>Customer Contracts (samples)</t>
        </is>
      </c>
      <c r="C18" t="inlineStr">
        <is>
          <t>Required</t>
        </is>
      </c>
      <c r="D18" s="20" t="inlineStr">
        <is>
          <t>High</t>
        </is>
      </c>
    </row>
    <row r="19">
      <c r="A19" s="3" t="inlineStr">
        <is>
          <t>Commercial</t>
        </is>
      </c>
      <c r="B19" s="3" t="inlineStr">
        <is>
          <t>Pipeline / CRM Export</t>
        </is>
      </c>
      <c r="C19" t="inlineStr">
        <is>
          <t>Required</t>
        </is>
      </c>
      <c r="D19" s="21" t="inlineStr">
        <is>
          <t>Medium</t>
        </is>
      </c>
    </row>
    <row r="20">
      <c r="A20" s="3" t="inlineStr">
        <is>
          <t>Commercial</t>
        </is>
      </c>
      <c r="B20" s="3" t="inlineStr">
        <is>
          <t>Pricing Documentation</t>
        </is>
      </c>
      <c r="C20" t="inlineStr">
        <is>
          <t>Required</t>
        </is>
      </c>
      <c r="D20" s="21" t="inlineStr">
        <is>
          <t>Medium</t>
        </is>
      </c>
    </row>
    <row r="21">
      <c r="A21" s="3" t="inlineStr">
        <is>
          <t>Commercial</t>
        </is>
      </c>
      <c r="B21" s="3" t="inlineStr">
        <is>
          <t>Partnership Agreements</t>
        </is>
      </c>
      <c r="C21" t="inlineStr">
        <is>
          <t>If applicable</t>
        </is>
      </c>
      <c r="D21" s="21" t="inlineStr">
        <is>
          <t>Medium</t>
        </is>
      </c>
    </row>
    <row r="22">
      <c r="A22" s="3" t="inlineStr">
        <is>
          <t>Legal</t>
        </is>
      </c>
      <c r="B22" s="3" t="inlineStr">
        <is>
          <t>Material Contracts</t>
        </is>
      </c>
      <c r="C22" t="inlineStr">
        <is>
          <t>Required</t>
        </is>
      </c>
      <c r="D22" s="20" t="inlineStr">
        <is>
          <t>High</t>
        </is>
      </c>
    </row>
    <row r="23">
      <c r="A23" s="3" t="inlineStr">
        <is>
          <t>Legal</t>
        </is>
      </c>
      <c r="B23" s="3" t="inlineStr">
        <is>
          <t>Litigation / Claims</t>
        </is>
      </c>
      <c r="C23" t="inlineStr">
        <is>
          <t>If applicable</t>
        </is>
      </c>
      <c r="D23" s="20" t="inlineStr">
        <is>
          <t>High</t>
        </is>
      </c>
    </row>
    <row r="24">
      <c r="A24" s="3" t="inlineStr">
        <is>
          <t>Legal</t>
        </is>
      </c>
      <c r="B24" s="3" t="inlineStr">
        <is>
          <t>Compliance Certifications</t>
        </is>
      </c>
      <c r="C24" t="inlineStr">
        <is>
          <t>Required</t>
        </is>
      </c>
      <c r="D24" s="20" t="inlineStr">
        <is>
          <t>High</t>
        </is>
      </c>
    </row>
    <row r="25">
      <c r="A25" s="3" t="inlineStr">
        <is>
          <t>Legal</t>
        </is>
      </c>
      <c r="B25" s="3" t="inlineStr">
        <is>
          <t>Insurance Policies</t>
        </is>
      </c>
      <c r="C25" t="inlineStr">
        <is>
          <t>Required</t>
        </is>
      </c>
      <c r="D25" s="21" t="inlineStr">
        <is>
          <t>Medium</t>
        </is>
      </c>
    </row>
    <row r="26">
      <c r="A26" s="3" t="inlineStr">
        <is>
          <t>Team</t>
        </is>
      </c>
      <c r="B26" s="3" t="inlineStr">
        <is>
          <t>Org Chart</t>
        </is>
      </c>
      <c r="C26" t="inlineStr">
        <is>
          <t>Required</t>
        </is>
      </c>
      <c r="D26" s="21" t="inlineStr">
        <is>
          <t>Medium</t>
        </is>
      </c>
    </row>
    <row r="27">
      <c r="A27" s="3" t="inlineStr">
        <is>
          <t>Team</t>
        </is>
      </c>
      <c r="B27" s="3" t="inlineStr">
        <is>
          <t>Key Employee Agreements</t>
        </is>
      </c>
      <c r="C27" t="inlineStr">
        <is>
          <t>Required</t>
        </is>
      </c>
      <c r="D27" s="20" t="inlineStr">
        <is>
          <t>High</t>
        </is>
      </c>
    </row>
    <row r="28">
      <c r="A28" s="3" t="inlineStr">
        <is>
          <t>Team</t>
        </is>
      </c>
      <c r="B28" s="3" t="inlineStr">
        <is>
          <t>Founder Vesting Schedules</t>
        </is>
      </c>
      <c r="C28" t="inlineStr">
        <is>
          <t>Required</t>
        </is>
      </c>
      <c r="D28" s="20" t="inlineStr">
        <is>
          <t>High</t>
        </is>
      </c>
    </row>
    <row r="29">
      <c r="A29" s="3" t="inlineStr">
        <is>
          <t>Team</t>
        </is>
      </c>
      <c r="B29" s="3" t="inlineStr">
        <is>
          <t>Advisory Agreements</t>
        </is>
      </c>
      <c r="C29" t="inlineStr">
        <is>
          <t>If applicable</t>
        </is>
      </c>
      <c r="D29" s="22" t="inlineStr">
        <is>
          <t>Low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2025-12-29T23:03:58Z</dcterms:created>
  <dcterms:modified xmlns:dcterms="http://purl.org/dc/terms/" xmlns:xsi="http://www.w3.org/2001/XMLSchema-instance" xsi:type="dcterms:W3CDTF">2025-12-29T23:03:58Z</dcterms:modified>
</cp:coreProperties>
</file>